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D07A18BD-2DB6-4F7C-9E5A-DDE42C43D8A1}" xr6:coauthVersionLast="47" xr6:coauthVersionMax="47" xr10:uidLastSave="{00000000-0000-0000-0000-000000000000}"/>
  <bookViews>
    <workbookView xWindow="240" yWindow="105" windowWidth="14805" windowHeight="8010" activeTab="9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9" l="1"/>
  <c r="B5" i="9"/>
  <c r="B14" i="8"/>
  <c r="B12" i="8"/>
  <c r="B7" i="8"/>
  <c r="B10" i="7"/>
  <c r="B9" i="7"/>
  <c r="B7" i="6"/>
  <c r="B7" i="5"/>
  <c r="B8" i="3"/>
  <c r="B7" i="3"/>
  <c r="B10" i="2"/>
  <c r="B9" i="2"/>
  <c r="C14" i="1"/>
  <c r="B14" i="1"/>
  <c r="B4" i="1"/>
  <c r="B6" i="1"/>
  <c r="B5" i="1"/>
</calcChain>
</file>

<file path=xl/sharedStrings.xml><?xml version="1.0" encoding="utf-8"?>
<sst xmlns="http://schemas.openxmlformats.org/spreadsheetml/2006/main" count="75" uniqueCount="71">
  <si>
    <t>QUESTION 1</t>
  </si>
  <si>
    <t>ANS:</t>
  </si>
  <si>
    <t>a) EVEN NUMBER:</t>
  </si>
  <si>
    <t>probability of getting an even number = favourable outcomes/total outcomes.</t>
  </si>
  <si>
    <t>b) NUMBER GREATER THAN 4 :</t>
  </si>
  <si>
    <t>probability of getting an even number greater than 4 = favorable outcomes / total outcomes</t>
  </si>
  <si>
    <t>QUESTION 2</t>
  </si>
  <si>
    <t xml:space="preserve">TOTAL STUDENTS </t>
  </si>
  <si>
    <t>LIKE MATHEMATICS (M)</t>
  </si>
  <si>
    <t>LIKE SCIENCE (S)</t>
  </si>
  <si>
    <t xml:space="preserve">LIKE BOTH </t>
  </si>
  <si>
    <t>STUDENT LIKE M OR S :</t>
  </si>
  <si>
    <t>PROBABILITY:</t>
  </si>
  <si>
    <t>Probability that a student like mathematics or science = 60%</t>
  </si>
  <si>
    <t>QUESTION 3</t>
  </si>
  <si>
    <t>REMAINING RED BALLS</t>
  </si>
  <si>
    <t>REMAINING BLUE BALLS</t>
  </si>
  <si>
    <t>TOTAL REMAINING BALLS:</t>
  </si>
  <si>
    <t>PROBABILITY THAT THE NEXT BALL IS RED = 0.5</t>
  </si>
  <si>
    <t>QUESTION 4</t>
  </si>
  <si>
    <t xml:space="preserve">ANS: </t>
  </si>
  <si>
    <t xml:space="preserve">SAMPLING METHOD </t>
  </si>
  <si>
    <t>STRATIFIED SAMPLING</t>
  </si>
  <si>
    <t xml:space="preserve"> REASON:</t>
  </si>
  <si>
    <t>Stratified sampling divides the population into groups (boys and girls) and selects samples from each group to ensure equal representation of both genders.</t>
  </si>
  <si>
    <t>QUESTION 5</t>
  </si>
  <si>
    <t>ANS : Stratified sampling divides the population into groups (boys and girls) and selects samples from each group to ensure equal representation of both genders.</t>
  </si>
  <si>
    <t>POPULATION MEAN:</t>
  </si>
  <si>
    <t>SAMPLE MEAN:</t>
  </si>
  <si>
    <t>SAMPLING ERROR:</t>
  </si>
  <si>
    <t>QUESTION 6</t>
  </si>
  <si>
    <t>ANS: SEM = Standard Deviation / √Sample Size</t>
  </si>
  <si>
    <t>STANDARD DEVIATION</t>
  </si>
  <si>
    <t xml:space="preserve">SAMPLE SIZE </t>
  </si>
  <si>
    <t>STANDARD ERROR OF MEAN :</t>
  </si>
  <si>
    <t>QUESTION 7</t>
  </si>
  <si>
    <t>ANS: Probability = (C + F − Both) / Total Students.  Which is 60%</t>
  </si>
  <si>
    <t>STUDENT LIKING CRICKET (C)</t>
  </si>
  <si>
    <t>STTUDENTB LIKING FOOTBALL (F)</t>
  </si>
  <si>
    <t>STUDENT LIKING BOTH</t>
  </si>
  <si>
    <t>TOTAL STUDENT</t>
  </si>
  <si>
    <t xml:space="preserve"> STUDENT LIKING ATLEAST ONE SPORT:</t>
  </si>
  <si>
    <t>PROBABILITY</t>
  </si>
  <si>
    <t>QUESTION 8</t>
  </si>
  <si>
    <t>ANS: PROBABILITY OF BOTH ACES IS 0.00452</t>
  </si>
  <si>
    <t xml:space="preserve">TOTAL CARDS </t>
  </si>
  <si>
    <t>TOTAL ACES</t>
  </si>
  <si>
    <t>PROBABILITY OF FIRST ACE</t>
  </si>
  <si>
    <t>REMAINING ACE :</t>
  </si>
  <si>
    <t>REMAINING CARDS :</t>
  </si>
  <si>
    <t>PROBABILITY OF SECOND ACE</t>
  </si>
  <si>
    <t>PROBABILITY OF BOTH ACES</t>
  </si>
  <si>
    <t>QUESTION 9</t>
  </si>
  <si>
    <t>ANS: Probability = (Non-defective rate) ^ Number of bulbs</t>
  </si>
  <si>
    <t xml:space="preserve">DEFECTIVE RATE </t>
  </si>
  <si>
    <t xml:space="preserve">NON-DEFECTIVE RATE </t>
  </si>
  <si>
    <t xml:space="preserve">NUMBER OF BULBS </t>
  </si>
  <si>
    <t>PROBABLITY (ALL NON-DEFECTIVE)</t>
  </si>
  <si>
    <t>QUESTION 10</t>
  </si>
  <si>
    <t>Column1</t>
  </si>
  <si>
    <t>Column2</t>
  </si>
  <si>
    <t>Column3</t>
  </si>
  <si>
    <t>Column4</t>
  </si>
  <si>
    <t>DISCREATE RANDOM VARIABLE</t>
  </si>
  <si>
    <t>CONTINUOUS RANDOM VARIABLE</t>
  </si>
  <si>
    <t>Takes countable values such as whole numbers.</t>
  </si>
  <si>
    <t>Takes uncountable values within a given range.</t>
  </si>
  <si>
    <t>Example: Number of students, number of cars.</t>
  </si>
  <si>
    <t>Example: Height, weight, time.</t>
  </si>
  <si>
    <t>Values are finite or countably infinite.</t>
  </si>
  <si>
    <t>Values are infinite and continuous.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</si>
</sst>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D0322-0928-4AF4-802C-3BD36A88345C}" name="Table1" displayName="Table1" ref="A4:D11" totalsRowShown="0" headerRowDxfId="0">
  <autoFilter ref="A4:D11" xr:uid="{61CD0322-0928-4AF4-802C-3BD36A88345C}"/>
  <tableColumns count="4">
    <tableColumn id="1" xr3:uid="{431A849F-FC8A-445B-B212-0B1982DDD802}" name="Column1"/>
    <tableColumn id="2" xr3:uid="{079FA642-AB48-4C21-8F97-F89C92011A3B}" name="Column2"/>
    <tableColumn id="3" xr3:uid="{2657D2F7-05C6-4653-A7D3-0A80D27B2A66}" name="Column3"/>
    <tableColumn id="4" xr3:uid="{93561E74-4245-434E-89B5-D162A689372E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defaultRowHeight="15"/>
  <cols>
    <col min="1" max="1" width="36.5703125" bestFit="1" customWidth="1"/>
  </cols>
  <sheetData>
    <row r="1" spans="1:7">
      <c r="A1" t="s">
        <v>0</v>
      </c>
    </row>
    <row r="2" spans="1:7">
      <c r="A2" t="s">
        <v>1</v>
      </c>
    </row>
    <row r="4" spans="1:7">
      <c r="A4" s="1" t="s">
        <v>2</v>
      </c>
      <c r="B4" s="2">
        <f>B6/B5</f>
        <v>0.5</v>
      </c>
      <c r="C4" s="2"/>
      <c r="D4" s="2"/>
      <c r="E4" s="2"/>
      <c r="F4" s="2"/>
      <c r="G4" s="2"/>
    </row>
    <row r="5" spans="1:7">
      <c r="A5" s="2">
        <v>1</v>
      </c>
      <c r="B5">
        <f>COUNTA(A5:A10)</f>
        <v>6</v>
      </c>
    </row>
    <row r="6" spans="1:7">
      <c r="A6" s="2">
        <v>2</v>
      </c>
      <c r="B6">
        <f>COUNTIF(A5:A10,"=2")+COUNTIF(A5:A10,"=4")+COUNTIF(A5:A10,"=6")</f>
        <v>3</v>
      </c>
    </row>
    <row r="7" spans="1:7">
      <c r="A7" s="2">
        <v>3</v>
      </c>
    </row>
    <row r="8" spans="1:7">
      <c r="A8" s="2">
        <v>4</v>
      </c>
    </row>
    <row r="9" spans="1:7">
      <c r="A9" s="2">
        <v>5</v>
      </c>
    </row>
    <row r="10" spans="1:7">
      <c r="A10" s="2">
        <v>6</v>
      </c>
    </row>
    <row r="12" spans="1:7">
      <c r="A12" s="3" t="s">
        <v>3</v>
      </c>
    </row>
    <row r="14" spans="1:7">
      <c r="A14" s="1" t="s">
        <v>4</v>
      </c>
      <c r="B14">
        <f>COUNTIF(A5:A10,"&gt;4")</f>
        <v>2</v>
      </c>
      <c r="C14">
        <f>B14/B5</f>
        <v>0.33333333333333331</v>
      </c>
    </row>
    <row r="16" spans="1:7">
      <c r="A16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CE3C-CBB0-435E-81FC-1F1AD37FC62E}">
  <dimension ref="A1:B12"/>
  <sheetViews>
    <sheetView workbookViewId="0"/>
  </sheetViews>
  <sheetFormatPr defaultRowHeight="15"/>
  <cols>
    <col min="1" max="1" width="23" customWidth="1"/>
  </cols>
  <sheetData>
    <row r="1" spans="1:2">
      <c r="A1" t="s">
        <v>6</v>
      </c>
    </row>
    <row r="2" spans="1:2">
      <c r="A2" t="s">
        <v>1</v>
      </c>
    </row>
    <row r="4" spans="1:2">
      <c r="A4" s="2" t="s">
        <v>7</v>
      </c>
      <c r="B4" s="2">
        <v>50</v>
      </c>
    </row>
    <row r="5" spans="1:2">
      <c r="A5" s="2" t="s">
        <v>8</v>
      </c>
      <c r="B5" s="2">
        <v>20</v>
      </c>
    </row>
    <row r="6" spans="1:2">
      <c r="A6" s="2" t="s">
        <v>9</v>
      </c>
      <c r="B6" s="2">
        <v>15</v>
      </c>
    </row>
    <row r="7" spans="1:2">
      <c r="A7" s="2" t="s">
        <v>10</v>
      </c>
      <c r="B7" s="2">
        <v>5</v>
      </c>
    </row>
    <row r="9" spans="1:2">
      <c r="A9" t="s">
        <v>11</v>
      </c>
      <c r="B9">
        <f>B5+B6-B7</f>
        <v>30</v>
      </c>
    </row>
    <row r="10" spans="1:2">
      <c r="A10" t="s">
        <v>12</v>
      </c>
      <c r="B10">
        <f>B9/B4</f>
        <v>0.6</v>
      </c>
    </row>
    <row r="12" spans="1:2">
      <c r="A12" s="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B183-7817-40EC-B3B3-456B94B05DA2}">
  <dimension ref="A1:B10"/>
  <sheetViews>
    <sheetView workbookViewId="0"/>
  </sheetViews>
  <sheetFormatPr defaultRowHeight="15"/>
  <cols>
    <col min="1" max="1" width="25.42578125" customWidth="1"/>
  </cols>
  <sheetData>
    <row r="1" spans="1:2">
      <c r="A1" t="s">
        <v>14</v>
      </c>
    </row>
    <row r="2" spans="1:2">
      <c r="A2" t="s">
        <v>1</v>
      </c>
    </row>
    <row r="4" spans="1:2">
      <c r="A4" s="2" t="s">
        <v>15</v>
      </c>
      <c r="B4" s="2">
        <v>2</v>
      </c>
    </row>
    <row r="5" spans="1:2">
      <c r="A5" s="2" t="s">
        <v>16</v>
      </c>
      <c r="B5" s="2">
        <v>2</v>
      </c>
    </row>
    <row r="7" spans="1:2">
      <c r="A7" t="s">
        <v>17</v>
      </c>
      <c r="B7">
        <f>B4+B5</f>
        <v>4</v>
      </c>
    </row>
    <row r="8" spans="1:2">
      <c r="A8" t="s">
        <v>12</v>
      </c>
      <c r="B8">
        <f>B4/B7</f>
        <v>0.5</v>
      </c>
    </row>
    <row r="10" spans="1:2">
      <c r="A10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742F-B34A-4239-BCAD-6002F8E2E363}">
  <dimension ref="A1:B6"/>
  <sheetViews>
    <sheetView workbookViewId="0"/>
  </sheetViews>
  <sheetFormatPr defaultRowHeight="15"/>
  <cols>
    <col min="1" max="1" width="19.140625" bestFit="1" customWidth="1"/>
    <col min="2" max="2" width="36.5703125" bestFit="1" customWidth="1"/>
  </cols>
  <sheetData>
    <row r="1" spans="1:2">
      <c r="A1" t="s">
        <v>19</v>
      </c>
    </row>
    <row r="2" spans="1:2">
      <c r="A2" t="s">
        <v>20</v>
      </c>
    </row>
    <row r="4" spans="1:2">
      <c r="A4" t="s">
        <v>21</v>
      </c>
      <c r="B4" t="s">
        <v>22</v>
      </c>
    </row>
    <row r="6" spans="1:2">
      <c r="A6" t="s">
        <v>23</v>
      </c>
      <c r="B6" s="3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FA0A-D963-4EFF-9ADF-E12E60B269D6}">
  <dimension ref="A1:B7"/>
  <sheetViews>
    <sheetView workbookViewId="0"/>
  </sheetViews>
  <sheetFormatPr defaultRowHeight="15"/>
  <cols>
    <col min="1" max="1" width="36.5703125" bestFit="1" customWidth="1"/>
  </cols>
  <sheetData>
    <row r="1" spans="1:2">
      <c r="A1" t="s">
        <v>25</v>
      </c>
    </row>
    <row r="2" spans="1:2">
      <c r="A2" s="3" t="s">
        <v>26</v>
      </c>
    </row>
    <row r="4" spans="1:2">
      <c r="A4" t="s">
        <v>27</v>
      </c>
      <c r="B4">
        <v>160</v>
      </c>
    </row>
    <row r="5" spans="1:2">
      <c r="A5" t="s">
        <v>28</v>
      </c>
      <c r="B5">
        <v>158</v>
      </c>
    </row>
    <row r="7" spans="1:2">
      <c r="A7" s="1" t="s">
        <v>29</v>
      </c>
      <c r="B7">
        <f>B5-B4</f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1AF9-25E3-4099-9FAD-361BDFE80550}">
  <dimension ref="A1:B7"/>
  <sheetViews>
    <sheetView workbookViewId="0"/>
  </sheetViews>
  <sheetFormatPr defaultRowHeight="15"/>
  <cols>
    <col min="1" max="1" width="36.5703125" bestFit="1" customWidth="1"/>
  </cols>
  <sheetData>
    <row r="1" spans="1:2">
      <c r="A1" t="s">
        <v>30</v>
      </c>
    </row>
    <row r="2" spans="1:2">
      <c r="A2" s="3" t="s">
        <v>31</v>
      </c>
    </row>
    <row r="4" spans="1:2">
      <c r="A4" t="s">
        <v>32</v>
      </c>
      <c r="B4">
        <v>5000</v>
      </c>
    </row>
    <row r="5" spans="1:2">
      <c r="A5" t="s">
        <v>33</v>
      </c>
      <c r="B5">
        <v>100</v>
      </c>
    </row>
    <row r="7" spans="1:2">
      <c r="A7" s="1" t="s">
        <v>34</v>
      </c>
      <c r="B7">
        <f>B4/SQRT(B5)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7BE6-FE2F-47D7-BDE6-B1FB0236B2EE}">
  <dimension ref="A1:B10"/>
  <sheetViews>
    <sheetView workbookViewId="0"/>
  </sheetViews>
  <sheetFormatPr defaultRowHeight="15"/>
  <cols>
    <col min="1" max="1" width="36.5703125" bestFit="1" customWidth="1"/>
  </cols>
  <sheetData>
    <row r="1" spans="1:2">
      <c r="A1" t="s">
        <v>35</v>
      </c>
    </row>
    <row r="2" spans="1:2">
      <c r="A2" s="3" t="s">
        <v>36</v>
      </c>
    </row>
    <row r="4" spans="1:2">
      <c r="A4" s="2" t="s">
        <v>37</v>
      </c>
      <c r="B4" s="2">
        <v>40</v>
      </c>
    </row>
    <row r="5" spans="1:2">
      <c r="A5" s="2" t="s">
        <v>38</v>
      </c>
      <c r="B5" s="2">
        <v>30</v>
      </c>
    </row>
    <row r="6" spans="1:2">
      <c r="A6" s="2" t="s">
        <v>39</v>
      </c>
      <c r="B6" s="2">
        <v>10</v>
      </c>
    </row>
    <row r="7" spans="1:2">
      <c r="A7" s="2" t="s">
        <v>40</v>
      </c>
      <c r="B7" s="2">
        <v>100</v>
      </c>
    </row>
    <row r="9" spans="1:2">
      <c r="A9" t="s">
        <v>41</v>
      </c>
      <c r="B9">
        <f>B4+B5-B6</f>
        <v>60</v>
      </c>
    </row>
    <row r="10" spans="1:2">
      <c r="A10" t="s">
        <v>42</v>
      </c>
      <c r="B10">
        <f>B9/B7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8F2B-D65D-4463-9EB4-38DB8AEF7157}">
  <dimension ref="A1:B14"/>
  <sheetViews>
    <sheetView workbookViewId="0"/>
  </sheetViews>
  <sheetFormatPr defaultRowHeight="15"/>
  <cols>
    <col min="1" max="1" width="29.85546875" customWidth="1"/>
    <col min="2" max="2" width="12.7109375" bestFit="1" customWidth="1"/>
  </cols>
  <sheetData>
    <row r="1" spans="1:2">
      <c r="A1" t="s">
        <v>43</v>
      </c>
    </row>
    <row r="2" spans="1:2">
      <c r="A2" s="3" t="s">
        <v>44</v>
      </c>
    </row>
    <row r="4" spans="1:2">
      <c r="A4" t="s">
        <v>45</v>
      </c>
      <c r="B4">
        <v>52</v>
      </c>
    </row>
    <row r="5" spans="1:2">
      <c r="A5" t="s">
        <v>46</v>
      </c>
      <c r="B5">
        <v>4</v>
      </c>
    </row>
    <row r="7" spans="1:2">
      <c r="A7" s="2" t="s">
        <v>47</v>
      </c>
      <c r="B7" s="2">
        <f>B5/B4</f>
        <v>7.6923076923076927E-2</v>
      </c>
    </row>
    <row r="9" spans="1:2">
      <c r="A9" t="s">
        <v>48</v>
      </c>
      <c r="B9">
        <v>3</v>
      </c>
    </row>
    <row r="10" spans="1:2">
      <c r="A10" t="s">
        <v>49</v>
      </c>
      <c r="B10">
        <v>51</v>
      </c>
    </row>
    <row r="12" spans="1:2">
      <c r="A12" s="2" t="s">
        <v>50</v>
      </c>
      <c r="B12" s="2">
        <f>(B5-1)/(B4-1)</f>
        <v>5.8823529411764705E-2</v>
      </c>
    </row>
    <row r="14" spans="1:2">
      <c r="A14" s="2" t="s">
        <v>51</v>
      </c>
      <c r="B14" s="2">
        <f>B7*B12</f>
        <v>4.5248868778280547E-3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D502-BE53-4393-AC19-18469DE9C17F}">
  <dimension ref="A1:B8"/>
  <sheetViews>
    <sheetView workbookViewId="0"/>
  </sheetViews>
  <sheetFormatPr defaultRowHeight="15"/>
  <cols>
    <col min="1" max="1" width="36.5703125" bestFit="1" customWidth="1"/>
  </cols>
  <sheetData>
    <row r="1" spans="1:2">
      <c r="A1" t="s">
        <v>52</v>
      </c>
    </row>
    <row r="2" spans="1:2">
      <c r="A2" s="3" t="s">
        <v>53</v>
      </c>
    </row>
    <row r="4" spans="1:2">
      <c r="A4" s="2" t="s">
        <v>54</v>
      </c>
      <c r="B4" s="2">
        <v>0.02</v>
      </c>
    </row>
    <row r="5" spans="1:2">
      <c r="A5" s="2" t="s">
        <v>55</v>
      </c>
      <c r="B5" s="2">
        <f>1-B4</f>
        <v>0.98</v>
      </c>
    </row>
    <row r="6" spans="1:2">
      <c r="A6" t="s">
        <v>56</v>
      </c>
      <c r="B6">
        <v>5</v>
      </c>
    </row>
    <row r="8" spans="1:2">
      <c r="A8" t="s">
        <v>57</v>
      </c>
      <c r="B8">
        <f>POWER(B5,B6)</f>
        <v>0.90392079679999982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7391-7192-4608-998B-BAE5D0A60C54}">
  <dimension ref="A1:D10"/>
  <sheetViews>
    <sheetView tabSelected="1" workbookViewId="0">
      <selection activeCell="B14" sqref="B14:C18"/>
    </sheetView>
  </sheetViews>
  <sheetFormatPr defaultRowHeight="15"/>
  <cols>
    <col min="1" max="1" width="36.5703125" bestFit="1" customWidth="1"/>
    <col min="2" max="2" width="11.140625" bestFit="1" customWidth="1"/>
    <col min="3" max="3" width="36.5703125" bestFit="1" customWidth="1"/>
  </cols>
  <sheetData>
    <row r="1" spans="1:4">
      <c r="A1" t="s">
        <v>58</v>
      </c>
    </row>
    <row r="2" spans="1:4">
      <c r="A2" t="s">
        <v>1</v>
      </c>
    </row>
    <row r="4" spans="1:4">
      <c r="A4" s="2" t="s">
        <v>59</v>
      </c>
      <c r="B4" s="2" t="s">
        <v>60</v>
      </c>
      <c r="C4" s="2" t="s">
        <v>61</v>
      </c>
      <c r="D4" s="2" t="s">
        <v>62</v>
      </c>
    </row>
    <row r="5" spans="1:4">
      <c r="A5" s="2" t="s">
        <v>63</v>
      </c>
      <c r="B5" s="2"/>
      <c r="C5" s="2" t="s">
        <v>64</v>
      </c>
    </row>
    <row r="6" spans="1:4">
      <c r="A6" s="3" t="s">
        <v>65</v>
      </c>
      <c r="C6" s="3" t="s">
        <v>66</v>
      </c>
    </row>
    <row r="8" spans="1:4">
      <c r="A8" s="3" t="s">
        <v>67</v>
      </c>
      <c r="C8" t="s">
        <v>68</v>
      </c>
    </row>
    <row r="10" spans="1:4">
      <c r="A10" t="s">
        <v>69</v>
      </c>
      <c r="C10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2025-12-30T14:28:42Z</dcterms:created>
  <dcterms:modified xsi:type="dcterms:W3CDTF">2026-01-02T10:02:14Z</dcterms:modified>
  <cp:category/>
  <cp:contentStatus/>
</cp:coreProperties>
</file>